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ISHABH PATEL\Downloads\"/>
    </mc:Choice>
  </mc:AlternateContent>
  <xr:revisionPtr revIDLastSave="0" documentId="13_ncr:1_{AF31F97A-C8AF-4518-BCEC-64246A12B6E4}" xr6:coauthVersionLast="47" xr6:coauthVersionMax="47" xr10:uidLastSave="{00000000-0000-0000-0000-000000000000}"/>
  <bookViews>
    <workbookView xWindow="-110" yWindow="-110" windowWidth="19420" windowHeight="1030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30" i="18" l="1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27" i="18"/>
  <c r="E27" i="18"/>
  <c r="D27" i="18"/>
  <c r="C27" i="18"/>
  <c r="B27" i="18"/>
  <c r="F26" i="18"/>
  <c r="E26" i="18"/>
  <c r="D26" i="18"/>
  <c r="C26" i="18"/>
  <c r="B26" i="18"/>
  <c r="F25" i="18"/>
  <c r="E25" i="18"/>
  <c r="D25" i="18"/>
  <c r="C25" i="18"/>
  <c r="B25" i="18"/>
  <c r="B23" i="18"/>
  <c r="C23" i="18"/>
  <c r="D23" i="18"/>
  <c r="E23" i="18"/>
  <c r="F23" i="18"/>
  <c r="B24" i="18"/>
  <c r="C24" i="18"/>
  <c r="D24" i="18"/>
  <c r="E24" i="18"/>
  <c r="F24" i="18"/>
  <c r="D22" i="18"/>
  <c r="F22" i="18"/>
  <c r="E22" i="18"/>
  <c r="C22" i="18"/>
  <c r="B22" i="18"/>
  <c r="B21" i="18"/>
  <c r="C21" i="18"/>
  <c r="D21" i="18"/>
  <c r="E21" i="18"/>
  <c r="F21" i="18"/>
  <c r="F20" i="18"/>
  <c r="E20" i="18"/>
  <c r="D20" i="18"/>
  <c r="C20" i="18"/>
  <c r="B20" i="18"/>
  <c r="B18" i="18"/>
  <c r="C18" i="18"/>
  <c r="D18" i="18"/>
  <c r="E18" i="18"/>
  <c r="F18" i="18"/>
  <c r="B19" i="18"/>
  <c r="C19" i="18"/>
  <c r="D19" i="18"/>
  <c r="E19" i="18"/>
  <c r="F19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C14" i="18"/>
  <c r="D14" i="18"/>
  <c r="E14" i="18"/>
  <c r="F14" i="18"/>
  <c r="B13" i="18"/>
  <c r="C13" i="18"/>
  <c r="D13" i="18"/>
  <c r="E13" i="18"/>
  <c r="F13" i="18"/>
  <c r="B14" i="18"/>
  <c r="F12" i="18"/>
  <c r="E12" i="18"/>
  <c r="D12" i="18"/>
  <c r="C12" i="18"/>
  <c r="B12" i="18"/>
  <c r="B11" i="18"/>
  <c r="C11" i="18"/>
  <c r="D11" i="18"/>
  <c r="E11" i="18"/>
  <c r="F11" i="18"/>
  <c r="F10" i="18"/>
  <c r="E10" i="18"/>
  <c r="D10" i="18"/>
  <c r="E9" i="18"/>
  <c r="F9" i="18"/>
  <c r="C10" i="18"/>
  <c r="B10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F6" i="18"/>
  <c r="E6" i="18"/>
  <c r="D6" i="18"/>
  <c r="C6" i="18"/>
  <c r="B6" i="18"/>
  <c r="H41" i="1"/>
  <c r="A6" i="18"/>
</calcChain>
</file>

<file path=xl/sharedStrings.xml><?xml version="1.0" encoding="utf-8"?>
<sst xmlns="http://schemas.openxmlformats.org/spreadsheetml/2006/main" count="322" uniqueCount="178">
  <si>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</si>
  <si>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</si>
  <si>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</si>
  <si>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</si>
  <si>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</si>
  <si>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</si>
  <si>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</si>
  <si>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</si>
  <si>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</si>
  <si>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</si>
  <si>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</si>
  <si>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</si>
  <si>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</si>
  <si>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</si>
  <si>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</si>
  <si>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</si>
  <si>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</si>
  <si>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</si>
  <si>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</si>
  <si>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</si>
  <si>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</si>
  <si>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</si>
  <si>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</si>
  <si>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</si>
  <si>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</si>
  <si>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</si>
  <si>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</si>
  <si>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</si>
  <si>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</si>
  <si>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</si>
  <si>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</si>
  <si>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</si>
  <si>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</si>
  <si>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</si>
  <si>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</si>
  <si>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</si>
  <si>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</si>
  <si>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</si>
  <si>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</si>
  <si>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</si>
  <si>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</si>
  <si>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</si>
  <si>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</si>
  <si>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</si>
  <si>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</si>
  <si>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</si>
  <si>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</si>
  <si>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</si>
  <si>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</si>
  <si>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</si>
  <si>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</si>
  <si>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</si>
  <si>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</si>
  <si>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</si>
  <si>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</si>
  <si>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</si>
  <si>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</si>
  <si>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</si>
  <si>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</si>
  <si>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</si>
  <si>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</si>
  <si>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</si>
  <si>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</si>
  <si>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</si>
  <si>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</si>
  <si>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</si>
  <si>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</si>
  <si>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</si>
  <si>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</si>
  <si>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</si>
  <si>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</si>
  <si>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</si>
  <si>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</si>
  <si>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</si>
  <si>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</si>
  <si>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</si>
  <si>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</si>
  <si>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</si>
  <si>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</si>
  <si>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</si>
  <si>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</si>
  <si>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</si>
  <si>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</si>
  <si>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</si>
  <si>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</si>
  <si>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</si>
  <si>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</si>
  <si>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</si>
  <si>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</si>
  <si>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</si>
  <si>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</si>
  <si>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</si>
  <si>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</si>
  <si>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</si>
  <si>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</si>
  <si>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</si>
  <si>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</si>
  <si>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</si>
  <si>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</si>
  <si>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</si>
  <si>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</si>
  <si>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</si>
  <si>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</si>
  <si>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</si>
  <si>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</si>
  <si>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</si>
  <si>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</si>
  <si>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</si>
  <si>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</si>
  <si>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</si>
  <si>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</si>
  <si>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</si>
  <si>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</si>
  <si>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</si>
  <si>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</si>
  <si>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</si>
  <si>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</si>
  <si>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</si>
  <si>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</si>
  <si>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</si>
  <si>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</si>
  <si>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</si>
  <si>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</si>
  <si>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</si>
  <si>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</si>
  <si>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</si>
  <si>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</si>
  <si>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</si>
  <si>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</si>
  <si>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</si>
  <si>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</si>
  <si>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</si>
  <si>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</si>
  <si>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</si>
  <si>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</si>
  <si>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</si>
  <si>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</si>
  <si>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</si>
  <si>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</si>
  <si>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</si>
  <si>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</si>
  <si>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</si>
  <si>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</si>
  <si>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</si>
  <si>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</si>
  <si>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</si>
  <si>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</si>
  <si>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</si>
  <si>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</si>
  <si>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</si>
  <si>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</si>
  <si>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</si>
  <si>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</si>
  <si>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</si>
  <si>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</si>
  <si>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</si>
  <si>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</si>
  <si>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</si>
  <si>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</si>
  <si>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</si>
  <si>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</si>
  <si>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</si>
  <si>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</si>
  <si>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</si>
  <si>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</si>
  <si>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</si>
  <si>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</si>
  <si>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</si>
  <si>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</si>
  <si>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</si>
  <si>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</si>
  <si>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</si>
  <si>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</si>
  <si>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</si>
  <si>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</si>
  <si>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</si>
  <si>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</si>
  <si>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{=SUMIF(H2:H40, "&gt;20", H2:H40)}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</si>
</sst>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2" fontId="3" fillId="5" borderId="1" xfId="0" applyNumberFormat="1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 patternType="solid"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6" sqref="A6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6" activePane="bottomLeft" state="frozen"/>
      <selection pane="bottomLeft" activeCell="H41" sqref="H4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5">
      <c r="H41" s="1">
        <f>SUMIF(H2:H40, "&gt;20", H2:H40)</f>
        <v>1473.0000000000002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G2:W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Normal="100" workbookViewId="0">
      <selection activeCell="K13" sqref="K13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>
        <f ca="1">IF(A6&lt;&gt;"", A6, VLOOKUP($A6, Dataset!A2:W2, 1, FALSE))</f>
        <v>0</v>
      </c>
      <c r="B6" s="12">
        <f>Dataset!G2</f>
        <v>2.7</v>
      </c>
      <c r="C6" s="12">
        <f>Dataset!N2</f>
        <v>7.6</v>
      </c>
      <c r="D6" s="12">
        <f>Dataset!R2</f>
        <v>4.2</v>
      </c>
      <c r="E6" s="12">
        <f>Dataset!T2</f>
        <v>8.9</v>
      </c>
      <c r="F6" s="8">
        <f>Dataset!V2</f>
        <v>4.2</v>
      </c>
    </row>
    <row r="7" spans="1:7" ht="14.5" x14ac:dyDescent="0.35">
      <c r="A7" s="7" t="s">
        <v>4</v>
      </c>
      <c r="B7" s="12">
        <f>Dataset!G3</f>
        <v>2.7</v>
      </c>
      <c r="C7" s="12">
        <f>Dataset!N3</f>
        <v>7.6</v>
      </c>
      <c r="D7" s="12">
        <f>Dataset!R3</f>
        <v>4.2</v>
      </c>
      <c r="E7" s="12">
        <f>Dataset!T3</f>
        <v>8.9</v>
      </c>
      <c r="F7" s="8">
        <f>Dataset!V3</f>
        <v>4.2</v>
      </c>
    </row>
    <row r="8" spans="1:7" ht="14.5" x14ac:dyDescent="0.35">
      <c r="A8" s="7" t="s">
        <v>7</v>
      </c>
      <c r="B8" s="12">
        <f>Dataset!G4</f>
        <v>3.6</v>
      </c>
      <c r="C8" s="12">
        <f>Dataset!N4</f>
        <v>11.1</v>
      </c>
      <c r="D8" s="12">
        <f>Dataset!R4</f>
        <v>5.8</v>
      </c>
      <c r="E8" s="12">
        <f>Dataset!T4</f>
        <v>12.2</v>
      </c>
      <c r="F8" s="8">
        <f>Dataset!V4</f>
        <v>5.8</v>
      </c>
    </row>
    <row r="9" spans="1:7" ht="14.5" x14ac:dyDescent="0.35">
      <c r="A9" s="7" t="s">
        <v>8</v>
      </c>
      <c r="B9" s="12">
        <f>Dataset!G5</f>
        <v>4.9000000000000004</v>
      </c>
      <c r="C9" s="12">
        <f>Dataset!N5</f>
        <v>13.3</v>
      </c>
      <c r="D9" s="12">
        <f>Dataset!R5</f>
        <v>8.1</v>
      </c>
      <c r="E9" s="12">
        <f>Dataset!T5</f>
        <v>17</v>
      </c>
      <c r="F9" s="8">
        <f>Dataset!V5</f>
        <v>8.1</v>
      </c>
    </row>
    <row r="10" spans="1:7" ht="14.5" x14ac:dyDescent="0.35">
      <c r="A10" s="7" t="s">
        <v>11</v>
      </c>
      <c r="B10" s="12">
        <f>Dataset!H8</f>
        <v>13.8</v>
      </c>
      <c r="C10" s="12">
        <f>Dataset!N8</f>
        <v>28.3</v>
      </c>
      <c r="D10" s="12">
        <f>Dataset!R8</f>
        <v>16.100000000000001</v>
      </c>
      <c r="E10" s="12">
        <f>Dataset!T8</f>
        <v>32.799999999999997</v>
      </c>
      <c r="F10" s="8">
        <f>Dataset!V8</f>
        <v>16.100000000000001</v>
      </c>
    </row>
    <row r="11" spans="1:7" ht="14.5" x14ac:dyDescent="0.35">
      <c r="A11" s="7" t="s">
        <v>12</v>
      </c>
      <c r="B11" s="12">
        <f>Dataset!H9</f>
        <v>17.3</v>
      </c>
      <c r="C11" s="12">
        <f>Dataset!N9</f>
        <v>35.200000000000003</v>
      </c>
      <c r="D11" s="12">
        <f>Dataset!R9</f>
        <v>21.3</v>
      </c>
      <c r="E11" s="12">
        <f>Dataset!T9</f>
        <v>43</v>
      </c>
      <c r="F11" s="8">
        <f>Dataset!V9</f>
        <v>21.3</v>
      </c>
    </row>
    <row r="12" spans="1:7" ht="14.5" x14ac:dyDescent="0.35">
      <c r="A12" s="7" t="s">
        <v>14</v>
      </c>
      <c r="B12" s="12">
        <f>Dataset!H11</f>
        <v>27.5</v>
      </c>
      <c r="C12" s="12">
        <f>Dataset!N11</f>
        <v>55.6</v>
      </c>
      <c r="D12" s="12">
        <f>Dataset!R11</f>
        <v>33.799999999999997</v>
      </c>
      <c r="E12" s="12">
        <f>Dataset!T11</f>
        <v>67.900000000000006</v>
      </c>
      <c r="F12" s="8">
        <f>Dataset!V11</f>
        <v>33.799999999999997</v>
      </c>
    </row>
    <row r="13" spans="1:7" ht="14.5" x14ac:dyDescent="0.35">
      <c r="A13" s="7" t="s">
        <v>15</v>
      </c>
      <c r="B13" s="12">
        <f>Dataset!H12</f>
        <v>0</v>
      </c>
      <c r="C13" s="12">
        <f>Dataset!N12</f>
        <v>0</v>
      </c>
      <c r="D13" s="12">
        <f>Dataset!R12</f>
        <v>0</v>
      </c>
      <c r="E13" s="12">
        <f>Dataset!T12</f>
        <v>0</v>
      </c>
      <c r="F13" s="8">
        <f>Dataset!V12</f>
        <v>0</v>
      </c>
    </row>
    <row r="14" spans="1:7" ht="14.5" x14ac:dyDescent="0.35">
      <c r="A14" s="7" t="s">
        <v>16</v>
      </c>
      <c r="B14" s="12">
        <f>Dataset!H13</f>
        <v>32.1</v>
      </c>
      <c r="C14" s="12">
        <f>Dataset!N13</f>
        <v>61.5</v>
      </c>
      <c r="D14" s="12">
        <f>Dataset!R13</f>
        <v>40.1</v>
      </c>
      <c r="E14" s="12">
        <f>Dataset!T13</f>
        <v>76.599999999999994</v>
      </c>
      <c r="F14" s="8">
        <f>Dataset!V13</f>
        <v>40.1</v>
      </c>
    </row>
    <row r="15" spans="1:7" ht="14.5" x14ac:dyDescent="0.35">
      <c r="A15" s="7" t="s">
        <v>18</v>
      </c>
      <c r="B15" s="12">
        <f>Dataset!H15</f>
        <v>39.299999999999997</v>
      </c>
      <c r="C15" s="12">
        <f>Dataset!N15</f>
        <v>79.599999999999994</v>
      </c>
      <c r="D15" s="12">
        <f>Dataset!R15</f>
        <v>47.9</v>
      </c>
      <c r="E15" s="12">
        <f>Dataset!T15</f>
        <v>96.8</v>
      </c>
      <c r="F15" s="8">
        <f>Dataset!V15</f>
        <v>47.9</v>
      </c>
    </row>
    <row r="16" spans="1:7" ht="14.5" x14ac:dyDescent="0.35">
      <c r="A16" s="7" t="s">
        <v>20</v>
      </c>
      <c r="B16" s="12">
        <f>Dataset!H17</f>
        <v>42.3</v>
      </c>
      <c r="C16" s="12">
        <f>Dataset!N17</f>
        <v>85.4</v>
      </c>
      <c r="D16" s="12">
        <f>Dataset!R17</f>
        <v>52.3</v>
      </c>
      <c r="E16" s="12">
        <f>Dataset!T17</f>
        <v>106.1</v>
      </c>
      <c r="F16" s="8">
        <f>Dataset!V17</f>
        <v>52.3</v>
      </c>
    </row>
    <row r="17" spans="1:6" ht="14.5" x14ac:dyDescent="0.35">
      <c r="A17" s="7" t="s">
        <v>22</v>
      </c>
      <c r="B17" s="12">
        <f>Dataset!H19</f>
        <v>45.5</v>
      </c>
      <c r="C17" s="12">
        <f>Dataset!N19</f>
        <v>92.1</v>
      </c>
      <c r="D17" s="12">
        <f>Dataset!R19</f>
        <v>57</v>
      </c>
      <c r="E17" s="12">
        <f>Dataset!T19</f>
        <v>115.1</v>
      </c>
      <c r="F17" s="8">
        <f>Dataset!V19</f>
        <v>57</v>
      </c>
    </row>
    <row r="18" spans="1:6" ht="14.5" x14ac:dyDescent="0.35">
      <c r="A18" s="7" t="s">
        <v>23</v>
      </c>
      <c r="B18" s="12">
        <f>Dataset!H20</f>
        <v>50.1</v>
      </c>
      <c r="C18" s="12">
        <f>Dataset!N20</f>
        <v>101.3</v>
      </c>
      <c r="D18" s="12">
        <f>Dataset!R20</f>
        <v>61.4</v>
      </c>
      <c r="E18" s="12">
        <f>Dataset!T20</f>
        <v>124.4</v>
      </c>
      <c r="F18" s="8">
        <f>Dataset!V20</f>
        <v>61.4</v>
      </c>
    </row>
    <row r="19" spans="1:6" ht="14.5" x14ac:dyDescent="0.35">
      <c r="A19" s="7" t="s">
        <v>24</v>
      </c>
      <c r="B19" s="12">
        <f>Dataset!H21</f>
        <v>52.3</v>
      </c>
      <c r="C19" s="12">
        <f>Dataset!N21</f>
        <v>106.1</v>
      </c>
      <c r="D19" s="12">
        <f>Dataset!R21</f>
        <v>63.6</v>
      </c>
      <c r="E19" s="12">
        <f>Dataset!T21</f>
        <v>128.6</v>
      </c>
      <c r="F19" s="8">
        <f>Dataset!V21</f>
        <v>63.6</v>
      </c>
    </row>
    <row r="20" spans="1:6" ht="14.5" x14ac:dyDescent="0.35">
      <c r="A20" s="7" t="s">
        <v>28</v>
      </c>
      <c r="B20" s="12">
        <f>Dataset!H26</f>
        <v>0</v>
      </c>
      <c r="C20" s="12">
        <f>Dataset!N26</f>
        <v>0</v>
      </c>
      <c r="D20" s="12">
        <f>Dataset!R26</f>
        <v>0</v>
      </c>
      <c r="E20" s="12">
        <f>Dataset!T26</f>
        <v>0</v>
      </c>
      <c r="F20" s="8">
        <f>Dataset!V26</f>
        <v>0</v>
      </c>
    </row>
    <row r="21" spans="1:6" ht="14.5" x14ac:dyDescent="0.35">
      <c r="A21" s="7" t="s">
        <v>57</v>
      </c>
      <c r="B21" s="12">
        <f>Dataset!H27</f>
        <v>61.4</v>
      </c>
      <c r="C21" s="12">
        <f>Dataset!N27</f>
        <v>124.4</v>
      </c>
      <c r="D21" s="12">
        <f>Dataset!R27</f>
        <v>75</v>
      </c>
      <c r="E21" s="12">
        <f>Dataset!T27</f>
        <v>151.5</v>
      </c>
      <c r="F21" s="8">
        <f>Dataset!V27</f>
        <v>75</v>
      </c>
    </row>
    <row r="22" spans="1:6" ht="14.5" x14ac:dyDescent="0.35">
      <c r="A22" s="7" t="s">
        <v>58</v>
      </c>
      <c r="B22" s="12">
        <f>Dataset!H30</f>
        <v>-1</v>
      </c>
      <c r="C22" s="12">
        <f>Dataset!N30</f>
        <v>-1</v>
      </c>
      <c r="D22" s="12">
        <f>Dataset!R30</f>
        <v>-1</v>
      </c>
      <c r="E22" s="12">
        <f>Dataset!T30</f>
        <v>-1</v>
      </c>
      <c r="F22" s="8">
        <f>Dataset!V30</f>
        <v>-1</v>
      </c>
    </row>
    <row r="23" spans="1:6" ht="14.5" x14ac:dyDescent="0.35">
      <c r="A23" s="7" t="s">
        <v>31</v>
      </c>
      <c r="B23" s="12">
        <f>Dataset!H31</f>
        <v>65.900000000000006</v>
      </c>
      <c r="C23" s="12">
        <f>Dataset!N31</f>
        <v>133.4</v>
      </c>
      <c r="D23" s="12">
        <f>Dataset!R31</f>
        <v>79.400000000000006</v>
      </c>
      <c r="E23" s="12">
        <f>Dataset!T31</f>
        <v>160.9</v>
      </c>
      <c r="F23" s="8">
        <f>Dataset!V31</f>
        <v>79.400000000000006</v>
      </c>
    </row>
    <row r="24" spans="1:6" ht="14.5" x14ac:dyDescent="0.35">
      <c r="A24" s="7" t="s">
        <v>32</v>
      </c>
      <c r="B24" s="12">
        <f>Dataset!H32</f>
        <v>-1</v>
      </c>
      <c r="C24" s="12">
        <f>Dataset!N32</f>
        <v>-1</v>
      </c>
      <c r="D24" s="12">
        <f>Dataset!R32</f>
        <v>-1</v>
      </c>
      <c r="E24" s="12">
        <f>Dataset!T32</f>
        <v>-1</v>
      </c>
      <c r="F24" s="8">
        <f>Dataset!V32</f>
        <v>-1</v>
      </c>
    </row>
    <row r="25" spans="1:6" ht="14.5" x14ac:dyDescent="0.35">
      <c r="A25" s="7" t="s">
        <v>34</v>
      </c>
      <c r="B25" s="12">
        <f>Dataset!H34</f>
        <v>63.6</v>
      </c>
      <c r="C25" s="12">
        <f>Dataset!N34</f>
        <v>128.6</v>
      </c>
      <c r="D25" s="12">
        <f>Dataset!R34</f>
        <v>79.400000000000006</v>
      </c>
      <c r="E25" s="12">
        <f>Dataset!T34</f>
        <v>160.9</v>
      </c>
      <c r="F25" s="8">
        <f>Dataset!V34</f>
        <v>79.400000000000006</v>
      </c>
    </row>
    <row r="26" spans="1:6" ht="14.5" x14ac:dyDescent="0.35">
      <c r="A26" s="7" t="s">
        <v>37</v>
      </c>
      <c r="B26" s="12">
        <f>Dataset!H38</f>
        <v>72.8</v>
      </c>
      <c r="C26" s="12">
        <f>Dataset!N38</f>
        <v>146.80000000000001</v>
      </c>
      <c r="D26" s="12">
        <f>Dataset!R38</f>
        <v>90.9</v>
      </c>
      <c r="E26" s="12">
        <f>Dataset!T38</f>
        <v>183.5</v>
      </c>
      <c r="F26" s="8">
        <f>Dataset!V38</f>
        <v>90.9</v>
      </c>
    </row>
    <row r="27" spans="1:6" ht="14.5" x14ac:dyDescent="0.35">
      <c r="A27" s="7" t="s">
        <v>39</v>
      </c>
      <c r="B27" s="12">
        <f>Dataset!H40</f>
        <v>77.2</v>
      </c>
      <c r="C27" s="12">
        <f>Dataset!N40</f>
        <v>156.4</v>
      </c>
      <c r="D27" s="12">
        <f>Dataset!R40</f>
        <v>93.1</v>
      </c>
      <c r="E27" s="12">
        <f>Dataset!T40</f>
        <v>188.1</v>
      </c>
      <c r="F27" s="8">
        <f>Dataset!V40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MAX(B6:B27)</f>
        <v>77.2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48">
        <f>AVERAGE(B6:B27)</f>
        <v>30.59090909090909</v>
      </c>
      <c r="C30" s="48">
        <f t="shared" ref="C30:F30" si="2">AVERAGE(C6:C27)</f>
        <v>62.377272727272725</v>
      </c>
      <c r="D30" s="48">
        <f t="shared" si="2"/>
        <v>37.800000000000004</v>
      </c>
      <c r="E30" s="48">
        <f t="shared" si="2"/>
        <v>76.418181818181822</v>
      </c>
      <c r="F30" s="48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153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/>
      <c r="D16" s="12"/>
      <c r="F16" s="12"/>
    </row>
    <row r="17" spans="1:6" x14ac:dyDescent="0.35">
      <c r="A17" s="7" t="s">
        <v>122</v>
      </c>
      <c r="B17" s="12"/>
      <c r="D17" s="12"/>
      <c r="F17" s="12"/>
    </row>
    <row r="18" spans="1:6" x14ac:dyDescent="0.35">
      <c r="A18" s="7" t="s">
        <v>123</v>
      </c>
      <c r="B18" s="12"/>
      <c r="D18" s="12"/>
      <c r="F18" s="12"/>
    </row>
    <row r="19" spans="1:6" x14ac:dyDescent="0.35">
      <c r="A19" s="7" t="s">
        <v>124</v>
      </c>
      <c r="B19" s="12"/>
      <c r="D19" s="12"/>
      <c r="F19" s="12"/>
    </row>
    <row r="20" spans="1:6" x14ac:dyDescent="0.35">
      <c r="A20" s="7" t="s">
        <v>125</v>
      </c>
      <c r="B20" s="12"/>
      <c r="D20" s="12"/>
      <c r="F20" s="12"/>
    </row>
    <row r="21" spans="1:6" x14ac:dyDescent="0.35">
      <c r="A21" s="7" t="s">
        <v>126</v>
      </c>
      <c r="B21" s="12"/>
      <c r="D21" s="12"/>
      <c r="F21" s="12"/>
    </row>
    <row r="22" spans="1:6" x14ac:dyDescent="0.35">
      <c r="A22" s="7" t="s">
        <v>127</v>
      </c>
      <c r="B22" s="12"/>
      <c r="D22" s="12"/>
      <c r="F22" s="12"/>
    </row>
    <row r="23" spans="1:6" x14ac:dyDescent="0.35">
      <c r="A23" s="7" t="s">
        <v>128</v>
      </c>
      <c r="B23" s="12"/>
      <c r="D23" s="12"/>
      <c r="F23" s="12"/>
    </row>
    <row r="24" spans="1:6" x14ac:dyDescent="0.35">
      <c r="A24" s="7" t="s">
        <v>129</v>
      </c>
      <c r="B24" s="12"/>
      <c r="D24" s="12"/>
      <c r="F24" s="12"/>
    </row>
    <row r="25" spans="1:6" x14ac:dyDescent="0.35">
      <c r="A25" s="7" t="s">
        <v>130</v>
      </c>
      <c r="B25" s="12"/>
      <c r="D25" s="12"/>
      <c r="F25" s="12"/>
    </row>
    <row r="26" spans="1:6" x14ac:dyDescent="0.35">
      <c r="A26" s="7" t="s">
        <v>131</v>
      </c>
      <c r="B26" s="12"/>
      <c r="D26" s="12"/>
      <c r="F26" s="12"/>
    </row>
    <row r="27" spans="1:6" x14ac:dyDescent="0.35">
      <c r="A27" s="7" t="s">
        <v>132</v>
      </c>
      <c r="B27" s="12"/>
      <c r="D27" s="12"/>
      <c r="F27" s="12"/>
    </row>
    <row r="28" spans="1:6" x14ac:dyDescent="0.35">
      <c r="A28" s="7" t="s">
        <v>133</v>
      </c>
      <c r="B28" s="12"/>
      <c r="D28" s="12"/>
      <c r="F28" s="12"/>
    </row>
    <row r="29" spans="1:6" x14ac:dyDescent="0.35">
      <c r="A29" s="7" t="s">
        <v>134</v>
      </c>
      <c r="B29" s="12"/>
      <c r="D29" s="12"/>
      <c r="F29" s="12"/>
    </row>
    <row r="30" spans="1:6" x14ac:dyDescent="0.35">
      <c r="A30" s="7" t="s">
        <v>135</v>
      </c>
      <c r="B30" s="12"/>
      <c r="D30" s="12"/>
      <c r="F30" s="12"/>
    </row>
    <row r="31" spans="1:6" x14ac:dyDescent="0.35">
      <c r="A31" s="7" t="s">
        <v>136</v>
      </c>
      <c r="B31" s="12"/>
      <c r="D31" s="12"/>
      <c r="F31" s="12"/>
    </row>
    <row r="32" spans="1:6" x14ac:dyDescent="0.35">
      <c r="A32" s="7" t="s">
        <v>137</v>
      </c>
      <c r="B32" s="12"/>
      <c r="D32" s="12"/>
      <c r="F32" s="12"/>
    </row>
    <row r="33" spans="1:6" x14ac:dyDescent="0.35">
      <c r="A33" s="7" t="s">
        <v>138</v>
      </c>
      <c r="B33" s="12"/>
      <c r="D33" s="12"/>
      <c r="F33" s="12"/>
    </row>
    <row r="34" spans="1:6" x14ac:dyDescent="0.35">
      <c r="A34" s="7" t="s">
        <v>139</v>
      </c>
      <c r="B34" s="12"/>
      <c r="D34" s="12"/>
      <c r="F34" s="12"/>
    </row>
    <row r="35" spans="1:6" x14ac:dyDescent="0.35">
      <c r="A35" s="7" t="s">
        <v>140</v>
      </c>
      <c r="B35" s="12"/>
      <c r="D35" s="12"/>
      <c r="F35" s="12"/>
    </row>
    <row r="36" spans="1:6" x14ac:dyDescent="0.35">
      <c r="A36" s="7" t="s">
        <v>141</v>
      </c>
      <c r="B36" s="12"/>
      <c r="D36" s="12"/>
      <c r="F36" s="12"/>
    </row>
    <row r="37" spans="1:6" x14ac:dyDescent="0.35">
      <c r="A37" s="7" t="s">
        <v>142</v>
      </c>
      <c r="B37" s="12"/>
      <c r="D37" s="12"/>
      <c r="F37" s="12"/>
    </row>
    <row r="38" spans="1:6" x14ac:dyDescent="0.35">
      <c r="A38" s="7" t="s">
        <v>143</v>
      </c>
      <c r="B38" s="12"/>
      <c r="D38" s="12"/>
      <c r="F38" s="12"/>
    </row>
    <row r="39" spans="1:6" x14ac:dyDescent="0.35">
      <c r="A39" s="7" t="s">
        <v>144</v>
      </c>
      <c r="B39" s="12"/>
      <c r="D39" s="12"/>
      <c r="F39" s="12"/>
    </row>
    <row r="40" spans="1:6" x14ac:dyDescent="0.35">
      <c r="A40" s="7" t="s">
        <v>145</v>
      </c>
      <c r="B40" s="12"/>
      <c r="D40" s="12"/>
      <c r="F40" s="12"/>
    </row>
    <row r="41" spans="1:6" x14ac:dyDescent="0.35">
      <c r="A41" s="7" t="s">
        <v>146</v>
      </c>
      <c r="B41" s="12"/>
      <c r="D41" s="12"/>
      <c r="F41" s="12"/>
    </row>
    <row r="42" spans="1:6" x14ac:dyDescent="0.35">
      <c r="A42" s="7" t="s">
        <v>147</v>
      </c>
      <c r="B42" s="12"/>
      <c r="D42" s="12"/>
      <c r="F42" s="12"/>
    </row>
    <row r="43" spans="1:6" x14ac:dyDescent="0.35">
      <c r="A43" s="7" t="s">
        <v>148</v>
      </c>
      <c r="B43" s="12"/>
      <c r="D43" s="12"/>
      <c r="F43" s="12"/>
    </row>
    <row r="44" spans="1:6" x14ac:dyDescent="0.35">
      <c r="A44" s="7" t="s">
        <v>149</v>
      </c>
      <c r="B44" s="12"/>
      <c r="D44" s="12"/>
      <c r="F44" s="12"/>
    </row>
    <row r="45" spans="1:6" x14ac:dyDescent="0.35">
      <c r="A45" s="7" t="s">
        <v>150</v>
      </c>
      <c r="B45" s="12"/>
      <c r="D45" s="12"/>
      <c r="F45" s="12"/>
    </row>
    <row r="46" spans="1:6" x14ac:dyDescent="0.35">
      <c r="A46" s="7" t="s">
        <v>112</v>
      </c>
      <c r="B46" s="12"/>
      <c r="D46" s="12"/>
      <c r="F46" s="12"/>
    </row>
    <row r="47" spans="1:6" x14ac:dyDescent="0.35">
      <c r="A47" s="7" t="s">
        <v>113</v>
      </c>
      <c r="B47" s="12"/>
      <c r="D47" s="12"/>
      <c r="F47" s="12"/>
    </row>
    <row r="48" spans="1:6" x14ac:dyDescent="0.35">
      <c r="A48" s="7" t="s">
        <v>114</v>
      </c>
      <c r="B48" s="12"/>
      <c r="D48" s="12"/>
      <c r="F48" s="12"/>
    </row>
    <row r="49" spans="1:6" x14ac:dyDescent="0.35">
      <c r="A49" s="7" t="s">
        <v>115</v>
      </c>
      <c r="B49" s="12"/>
      <c r="D49" s="12"/>
      <c r="F49" s="12"/>
    </row>
    <row r="50" spans="1:6" x14ac:dyDescent="0.35">
      <c r="A50" s="7" t="s">
        <v>116</v>
      </c>
      <c r="B50" s="12"/>
      <c r="D50" s="12"/>
      <c r="F50" s="12"/>
    </row>
    <row r="51" spans="1:6" x14ac:dyDescent="0.35">
      <c r="A51" s="7" t="s">
        <v>117</v>
      </c>
      <c r="B51" s="12"/>
      <c r="D51" s="12"/>
      <c r="F51" s="12"/>
    </row>
    <row r="52" spans="1:6" x14ac:dyDescent="0.35">
      <c r="A52" s="7" t="s">
        <v>118</v>
      </c>
      <c r="B52" s="12"/>
      <c r="D52" s="12"/>
      <c r="F52" s="12"/>
    </row>
    <row r="53" spans="1:6" x14ac:dyDescent="0.35">
      <c r="A53" s="7" t="s">
        <v>119</v>
      </c>
      <c r="B53" s="12"/>
      <c r="D53" s="12"/>
      <c r="F53" s="12"/>
    </row>
    <row r="54" spans="1:6" x14ac:dyDescent="0.3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167</v>
      </c>
    </row>
    <row r="2" spans="1:3" ht="18.5" x14ac:dyDescent="0.45">
      <c r="B2" s="40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 t="e">
        <v>#N/A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 t="e">
        <v>#N/A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154</v>
      </c>
      <c r="C17" s="17">
        <v>150</v>
      </c>
    </row>
    <row r="18" spans="1:3" ht="14.5" x14ac:dyDescent="0.35">
      <c r="A18" s="32">
        <v>44933</v>
      </c>
      <c r="B18" s="17" t="s">
        <v>155</v>
      </c>
      <c r="C18" s="17">
        <v>80</v>
      </c>
    </row>
    <row r="19" spans="1:3" ht="14.5" x14ac:dyDescent="0.35">
      <c r="A19" s="32">
        <v>44934</v>
      </c>
      <c r="B19" s="17" t="s">
        <v>156</v>
      </c>
      <c r="C19" s="17" t="e">
        <v>#N/A</v>
      </c>
    </row>
    <row r="20" spans="1:3" ht="14.5" x14ac:dyDescent="0.35">
      <c r="A20" s="32">
        <v>44935</v>
      </c>
      <c r="B20" s="17" t="s">
        <v>157</v>
      </c>
      <c r="C20" s="17">
        <v>30</v>
      </c>
    </row>
    <row r="21" spans="1:3" ht="14.5" x14ac:dyDescent="0.35">
      <c r="A21" s="32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175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/>
    </row>
    <row r="24" spans="1:14" ht="14.5" x14ac:dyDescent="0.35">
      <c r="A24" s="7">
        <v>10100</v>
      </c>
      <c r="B24" s="12">
        <v>10104</v>
      </c>
      <c r="C24" s="44"/>
    </row>
    <row r="25" spans="1:14" ht="14.5" x14ac:dyDescent="0.35">
      <c r="A25" s="7">
        <v>10108</v>
      </c>
      <c r="B25" s="12">
        <v>10102</v>
      </c>
      <c r="C25" s="44"/>
    </row>
    <row r="26" spans="1:14" ht="14.5" x14ac:dyDescent="0.35">
      <c r="A26" s="7">
        <v>10100</v>
      </c>
      <c r="B26" s="12">
        <v>10106</v>
      </c>
      <c r="C26" s="44"/>
    </row>
    <row r="27" spans="1:14" ht="14.5" x14ac:dyDescent="0.35">
      <c r="A27" s="7">
        <v>10108</v>
      </c>
      <c r="B27" s="12">
        <v>10110</v>
      </c>
      <c r="C27" s="44"/>
    </row>
    <row r="28" spans="1:14" ht="14.5" x14ac:dyDescent="0.35">
      <c r="A28" s="7">
        <v>10102</v>
      </c>
      <c r="B28" s="12">
        <v>10104</v>
      </c>
      <c r="C28" s="44"/>
    </row>
    <row r="29" spans="1:14" ht="14.5" x14ac:dyDescent="0.35">
      <c r="A29" s="7">
        <v>10106</v>
      </c>
      <c r="B29" s="12">
        <v>10108</v>
      </c>
      <c r="C29" s="44"/>
    </row>
    <row r="30" spans="1:14" ht="14.5" x14ac:dyDescent="0.35">
      <c r="A30" s="7">
        <v>10102</v>
      </c>
      <c r="B30" s="12">
        <v>10106</v>
      </c>
      <c r="C30" s="44"/>
    </row>
    <row r="31" spans="1:14" ht="14.5" x14ac:dyDescent="0.35">
      <c r="A31" s="7">
        <v>10110</v>
      </c>
      <c r="B31" s="12">
        <v>10114</v>
      </c>
      <c r="C31" s="44"/>
    </row>
    <row r="32" spans="1:14" ht="14.5" x14ac:dyDescent="0.35">
      <c r="A32" s="7">
        <v>10104</v>
      </c>
      <c r="B32" s="12">
        <v>10106</v>
      </c>
      <c r="C32" s="44"/>
    </row>
    <row r="33" spans="1:3" ht="14.5" x14ac:dyDescent="0.35">
      <c r="A33" s="7">
        <v>10110</v>
      </c>
      <c r="B33" s="12">
        <v>10112</v>
      </c>
      <c r="C33" s="44"/>
    </row>
    <row r="34" spans="1:3" ht="14.5" x14ac:dyDescent="0.35">
      <c r="A34" s="7">
        <v>10100</v>
      </c>
      <c r="B34" s="12">
        <v>10114</v>
      </c>
      <c r="C34" s="44"/>
    </row>
    <row r="35" spans="1:3" ht="14.5" x14ac:dyDescent="0.3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Manoj Uttam</cp:lastModifiedBy>
  <dcterms:created xsi:type="dcterms:W3CDTF">2015-02-10T17:33:11Z</dcterms:created>
  <dcterms:modified xsi:type="dcterms:W3CDTF">2023-12-10T14:28:42Z</dcterms:modified>
</cp:coreProperties>
</file>